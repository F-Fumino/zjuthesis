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zjuthesis\结题\"/>
    </mc:Choice>
  </mc:AlternateContent>
  <xr:revisionPtr revIDLastSave="0" documentId="13_ncr:1_{BF27C90A-B38F-430B-9E77-60D412A9346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N12" i="1"/>
  <c r="O9" i="1"/>
  <c r="O10" i="1"/>
  <c r="O11" i="1"/>
  <c r="N11" i="1"/>
  <c r="N10" i="1"/>
  <c r="N9" i="1"/>
</calcChain>
</file>

<file path=xl/sharedStrings.xml><?xml version="1.0" encoding="utf-8"?>
<sst xmlns="http://schemas.openxmlformats.org/spreadsheetml/2006/main" count="8" uniqueCount="8">
  <si>
    <t>显存利用率</t>
  </si>
  <si>
    <t>页表耗时</t>
  </si>
  <si>
    <t xml:space="preserve">页面大小 </t>
    <phoneticPr fontId="2" type="noConversion"/>
  </si>
  <si>
    <t>CPU时间</t>
    <phoneticPr fontId="2" type="noConversion"/>
  </si>
  <si>
    <t>GPU时间</t>
    <phoneticPr fontId="2" type="noConversion"/>
  </si>
  <si>
    <t>总时间</t>
    <phoneticPr fontId="2" type="noConversion"/>
  </si>
  <si>
    <t>绑定耗时</t>
    <phoneticPr fontId="2" type="noConversion"/>
  </si>
  <si>
    <t>其他部分CPU时间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</si>
</sst>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 applyAlignment="1">
      <alignment horizontal="center" vertical="center"/>
    </xf>
    <xf numFmtId="180" fontId="1" fillId="0" borderId="0" xfId="1" applyNumberFormat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5D6899E0-05B1-4551-ADE6-41D01E1FA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zh-CN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不同数据页大小对性能的影响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</c:f>
              <c:strCache>
                <c:ptCount val="1"/>
                <c:pt idx="0">
                  <c:v>显存利用率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Sheet1!$I$9:$I$13</c:f>
              <c:numCache>
                <c:formatCode>General</c:formatCode>
                <c:ptCount val="5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</c:numCache>
            </c:numRef>
          </c:cat>
          <c:val>
            <c:numRef>
              <c:f>Sheet1!$J$9:$J$13</c:f>
              <c:numCache>
                <c:formatCode>0.0%</c:formatCode>
                <c:ptCount val="5"/>
                <c:pt idx="0">
                  <c:v>0.185</c:v>
                </c:pt>
                <c:pt idx="1">
                  <c:v>0.14899999999999999</c:v>
                </c:pt>
                <c:pt idx="2">
                  <c:v>0.114</c:v>
                </c:pt>
                <c:pt idx="3">
                  <c:v>8.8999999999999996E-2</c:v>
                </c:pt>
                <c:pt idx="4">
                  <c:v>6.9000000000000006E-2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CA-4955-B629-D66389471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282751"/>
        <c:axId val="1346279007"/>
      </c:lineChart>
      <c:lineChart>
        <c:grouping val="standard"/>
        <c:varyColors val="0"/>
        <c:ser>
          <c:idx val="2"/>
          <c:order val="1"/>
          <c:tx>
            <c:strRef>
              <c:f>Sheet1!$K$8</c:f>
              <c:strCache>
                <c:ptCount val="1"/>
                <c:pt idx="0">
                  <c:v>页表耗时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Sheet1!$K$9:$K$13</c:f>
              <c:numCache>
                <c:formatCode>General</c:formatCode>
                <c:ptCount val="5"/>
                <c:pt idx="0">
                  <c:v>8.4</c:v>
                </c:pt>
                <c:pt idx="1">
                  <c:v>4.3899999999999997</c:v>
                </c:pt>
                <c:pt idx="2">
                  <c:v>2.3199999999999998</c:v>
                </c:pt>
                <c:pt idx="3">
                  <c:v>1.23</c:v>
                </c:pt>
                <c:pt idx="4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CA-4955-B629-D663894714CD}"/>
            </c:ext>
          </c:extLst>
        </c:ser>
        <c:ser>
          <c:idx val="3"/>
          <c:order val="2"/>
          <c:tx>
            <c:strRef>
              <c:f>Sheet1!$L$8</c:f>
              <c:strCache>
                <c:ptCount val="1"/>
                <c:pt idx="0">
                  <c:v>GPU时间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Sheet1!$L$9:$L$13</c:f>
              <c:numCache>
                <c:formatCode>General</c:formatCode>
                <c:ptCount val="5"/>
                <c:pt idx="0">
                  <c:v>39.200000000000003</c:v>
                </c:pt>
                <c:pt idx="1">
                  <c:v>39.200000000000003</c:v>
                </c:pt>
                <c:pt idx="2">
                  <c:v>31.9</c:v>
                </c:pt>
                <c:pt idx="3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CA-4955-B629-D66389471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592751"/>
        <c:axId val="1343579023"/>
      </c:lineChart>
      <c:catAx>
        <c:axId val="13462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数据页大小</a:t>
                </a:r>
                <a:r>
                  <a:rPr lang="en-US" altLang="zh-CN"/>
                  <a:t>/KB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6279007"/>
        <c:crosses val="autoZero"/>
        <c:auto val="1"/>
        <c:lblAlgn val="ctr"/>
        <c:lblOffset val="100"/>
        <c:noMultiLvlLbl val="0"/>
      </c:catAx>
      <c:valAx>
        <c:axId val="1346279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6282751"/>
        <c:crosses val="autoZero"/>
        <c:crossBetween val="between"/>
      </c:valAx>
      <c:valAx>
        <c:axId val="13435790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/ms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592751"/>
        <c:crosses val="max"/>
        <c:crossBetween val="between"/>
      </c:valAx>
      <c:catAx>
        <c:axId val="13435927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3435790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594574942644"/>
          <c:y val="0.76329273783448581"/>
          <c:w val="0.14054055808692506"/>
          <c:h val="0.23098343963392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359019</xdr:colOff>
      <xdr:row>16</xdr:row>
      <xdr:rowOff>64476</xdr:rowOff>
    </xdr:from>
    <xdr:to>
      <xdr:col>13</xdr:col>
      <xdr:colOff>542191</xdr:colOff>
      <xdr:row>37</xdr:row>
      <xdr:rowOff>83037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49DF22A-9AE6-4134-9BE5-48BCB2981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4:P13"/>
  <sheetViews>
    <sheetView tabSelected="1" topLeftCell="C4" zoomScale="130" zoomScaleNormal="130" workbookViewId="0">
      <selection activeCell="M13" sqref="M13"/>
    </sheetView>
  </sheetViews>
  <sheetFormatPr defaultRowHeight="14" x14ac:dyDescent="0.3"/>
  <cols>
    <col min="15" max="15" width="16.6640625" customWidth="1"/>
  </cols>
  <sheetData>
    <row r="4" spans="9:16" x14ac:dyDescent="0.3">
      <c r="J4" s="3"/>
      <c r="K4" s="3"/>
      <c r="L4" s="3"/>
    </row>
    <row r="5" spans="9:16" x14ac:dyDescent="0.3">
      <c r="J5" s="3"/>
      <c r="K5" s="3"/>
      <c r="L5" s="4"/>
    </row>
    <row r="6" spans="9:16" x14ac:dyDescent="0.3">
      <c r="J6" s="3"/>
      <c r="K6" s="3"/>
      <c r="L6" s="4"/>
    </row>
    <row r="7" spans="9:16" x14ac:dyDescent="0.3">
      <c r="J7" s="3"/>
      <c r="K7" s="3"/>
      <c r="L7" s="4"/>
    </row>
    <row r="8" spans="9:16" x14ac:dyDescent="0.3">
      <c r="I8" s="1" t="s">
        <v>2</v>
      </c>
      <c r="J8" s="1" t="s">
        <v>0</v>
      </c>
      <c r="K8" s="1" t="s">
        <v>1</v>
      </c>
      <c r="L8" s="3" t="s">
        <v>4</v>
      </c>
      <c r="M8" s="3" t="s">
        <v>5</v>
      </c>
      <c r="N8" s="3" t="s">
        <v>3</v>
      </c>
      <c r="O8" s="1" t="s">
        <v>7</v>
      </c>
      <c r="P8" s="1" t="s">
        <v>6</v>
      </c>
    </row>
    <row r="9" spans="9:16" x14ac:dyDescent="0.3">
      <c r="I9" s="1">
        <v>256</v>
      </c>
      <c r="J9" s="2">
        <v>0.185</v>
      </c>
      <c r="K9" s="1">
        <v>8.4</v>
      </c>
      <c r="L9" s="3">
        <v>39.200000000000003</v>
      </c>
      <c r="M9" s="3">
        <v>50.9</v>
      </c>
      <c r="N9" s="4">
        <f>M9-L9</f>
        <v>11.699999999999996</v>
      </c>
      <c r="O9" s="1">
        <f>N9-K9</f>
        <v>3.2999999999999954</v>
      </c>
      <c r="P9" s="1">
        <v>0.25</v>
      </c>
    </row>
    <row r="10" spans="9:16" x14ac:dyDescent="0.3">
      <c r="I10" s="1">
        <v>512</v>
      </c>
      <c r="J10" s="2">
        <v>0.14899999999999999</v>
      </c>
      <c r="K10" s="1">
        <v>4.3899999999999997</v>
      </c>
      <c r="L10" s="3">
        <v>39.200000000000003</v>
      </c>
      <c r="M10" s="3">
        <v>46.2</v>
      </c>
      <c r="N10" s="4">
        <f t="shared" ref="N10:N12" si="0">M10-L10</f>
        <v>7</v>
      </c>
      <c r="O10" s="1">
        <f t="shared" ref="O10:O12" si="1">N10-K10</f>
        <v>2.6100000000000003</v>
      </c>
      <c r="P10" s="1">
        <v>0.1</v>
      </c>
    </row>
    <row r="11" spans="9:16" x14ac:dyDescent="0.3">
      <c r="I11" s="1">
        <v>1024</v>
      </c>
      <c r="J11" s="2">
        <v>0.114</v>
      </c>
      <c r="K11" s="1">
        <v>2.3199999999999998</v>
      </c>
      <c r="L11" s="3">
        <v>31.9</v>
      </c>
      <c r="M11" s="3">
        <v>36.6</v>
      </c>
      <c r="N11" s="4">
        <f t="shared" si="0"/>
        <v>4.7000000000000028</v>
      </c>
      <c r="O11" s="1">
        <f t="shared" si="1"/>
        <v>2.380000000000003</v>
      </c>
      <c r="P11" s="1">
        <v>7.0000000000000007E-2</v>
      </c>
    </row>
    <row r="12" spans="9:16" x14ac:dyDescent="0.3">
      <c r="I12" s="1">
        <v>2048</v>
      </c>
      <c r="J12" s="2">
        <v>8.8999999999999996E-2</v>
      </c>
      <c r="K12" s="1">
        <v>1.23</v>
      </c>
      <c r="L12" s="1">
        <v>26.6</v>
      </c>
      <c r="M12" s="4">
        <v>30.3</v>
      </c>
      <c r="N12" s="4">
        <f t="shared" si="0"/>
        <v>3.6999999999999993</v>
      </c>
      <c r="O12" s="1">
        <f t="shared" si="1"/>
        <v>2.4699999999999993</v>
      </c>
      <c r="P12" s="1">
        <v>0.04</v>
      </c>
    </row>
    <row r="13" spans="9:16" x14ac:dyDescent="0.3">
      <c r="I13" s="1">
        <v>4096</v>
      </c>
      <c r="J13" s="2">
        <v>6.9000000000000006E-2</v>
      </c>
      <c r="K13" s="1">
        <v>1.23</v>
      </c>
      <c r="L13" s="1"/>
      <c r="M13" s="4"/>
      <c r="N13" s="4"/>
      <c r="O13" s="1"/>
      <c r="P13" s="1">
        <v>0.69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宋宇晨</dc:creator>
  <cp:lastModifiedBy>Yuchen Song</cp:lastModifiedBy>
  <dcterms:created xsi:type="dcterms:W3CDTF">2015-06-05T18:19:34Z</dcterms:created>
  <dcterms:modified xsi:type="dcterms:W3CDTF">2025-05-16T09:47:29Z</dcterms:modified>
</cp:coreProperties>
</file>